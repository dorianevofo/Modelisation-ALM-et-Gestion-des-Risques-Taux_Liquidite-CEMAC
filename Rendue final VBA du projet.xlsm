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SSIER VIANNY\4-IFA SEMESTRE 2\ECONOMÉTRIE FINANCIÈRE\econometrie final\econometrie final\resultat final\econometrie groupe 2\"/>
    </mc:Choice>
  </mc:AlternateContent>
  <xr:revisionPtr revIDLastSave="0" documentId="13_ncr:1_{E7737AC5-5B0D-4562-BF39-06111B8BD458}" xr6:coauthVersionLast="47" xr6:coauthVersionMax="47" xr10:uidLastSave="{00000000-0000-0000-0000-000000000000}"/>
  <bookViews>
    <workbookView xWindow="-110" yWindow="-110" windowWidth="19420" windowHeight="10300" xr2:uid="{403CBA9B-2A7C-46B0-A0E8-BFF32EB03E8E}"/>
  </bookViews>
  <sheets>
    <sheet name="Dashboard" sheetId="1" r:id="rId1"/>
    <sheet name="Import_Poids" sheetId="2" r:id="rId2"/>
    <sheet name="Import_Flux" sheetId="3" r:id="rId3"/>
    <sheet name="Import_Stress" sheetId="4" r:id="rId4"/>
    <sheet name="Import_Garch" sheetId="5" r:id="rId5"/>
    <sheet name="Import_Var" sheetId="6" r:id="rId6"/>
    <sheet name="Optimisation_COSUMAF" sheetId="7" r:id="rId7"/>
  </sheets>
  <definedNames>
    <definedName name="solver_adj" localSheetId="0" hidden="1">Dashboard!$C$2:$C$6</definedName>
    <definedName name="solver_adj" localSheetId="6" hidden="1">Optimisation_COSUMAF!$C$2:$C$6</definedName>
    <definedName name="solver_cvg" localSheetId="6" hidden="1">0.0001</definedName>
    <definedName name="solver_drv" localSheetId="6" hidden="1">2</definedName>
    <definedName name="solver_eng" localSheetId="0" hidden="1">1</definedName>
    <definedName name="solver_eng" localSheetId="6" hidden="1">1</definedName>
    <definedName name="solver_est" localSheetId="6" hidden="1">1</definedName>
    <definedName name="solver_itr" localSheetId="6" hidden="1">2147483647</definedName>
    <definedName name="solver_lhs1" localSheetId="0" hidden="1">Dashboard!$C$7</definedName>
    <definedName name="solver_lhs1" localSheetId="6" hidden="1">Optimisation_COSUMAF!$C$7</definedName>
    <definedName name="solver_lhs2" localSheetId="0" hidden="1">Dashboard!$C$2:$C$6</definedName>
    <definedName name="solver_lhs2" localSheetId="6" hidden="1">Optimisation_COSUMAF!$C$2:$C$6</definedName>
    <definedName name="solver_lhs3" localSheetId="0" hidden="1">Dashboard!$C$2:$C$6</definedName>
    <definedName name="solver_lhs3" localSheetId="6" hidden="1">Optimisation_COSUMAF!$C$2:$C$6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0" hidden="1">1</definedName>
    <definedName name="solver_neg" localSheetId="6" hidden="1">1</definedName>
    <definedName name="solver_nod" localSheetId="6" hidden="1">2147483647</definedName>
    <definedName name="solver_num" localSheetId="0" hidden="1">3</definedName>
    <definedName name="solver_num" localSheetId="6" hidden="1">3</definedName>
    <definedName name="solver_nwt" localSheetId="6" hidden="1">1</definedName>
    <definedName name="solver_opt" localSheetId="0" hidden="1">Dashboard!$E$7</definedName>
    <definedName name="solver_opt" localSheetId="6" hidden="1">Optimisation_COSUMAF!$E$7</definedName>
    <definedName name="solver_pre" localSheetId="6" hidden="1">0.000001</definedName>
    <definedName name="solver_rbv" localSheetId="6" hidden="1">2</definedName>
    <definedName name="solver_rel1" localSheetId="0" hidden="1">2</definedName>
    <definedName name="solver_rel1" localSheetId="6" hidden="1">2</definedName>
    <definedName name="solver_rel2" localSheetId="0" hidden="1">1</definedName>
    <definedName name="solver_rel2" localSheetId="6" hidden="1">1</definedName>
    <definedName name="solver_rel3" localSheetId="0" hidden="1">3</definedName>
    <definedName name="solver_rel3" localSheetId="6" hidden="1">3</definedName>
    <definedName name="solver_rhs1" localSheetId="0" hidden="1">1</definedName>
    <definedName name="solver_rhs1" localSheetId="6" hidden="1">1</definedName>
    <definedName name="solver_rhs2" localSheetId="0" hidden="1">0.35</definedName>
    <definedName name="solver_rhs2" localSheetId="6" hidden="1">0.35</definedName>
    <definedName name="solver_rhs3" localSheetId="0" hidden="1">0</definedName>
    <definedName name="solver_rhs3" localSheetId="6" hidden="1">0</definedName>
    <definedName name="solver_rlx" localSheetId="6" hidden="1">2</definedName>
    <definedName name="solver_rsd" localSheetId="6" hidden="1">0</definedName>
    <definedName name="solver_scl" localSheetId="6" hidden="1">2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0" hidden="1">1</definedName>
    <definedName name="solver_typ" localSheetId="6" hidden="1">1</definedName>
    <definedName name="solver_val" localSheetId="0" hidden="1">0</definedName>
    <definedName name="solver_val" localSheetId="6" hidden="1">0</definedName>
    <definedName name="solver_ver" localSheetId="0" hidden="1">3</definedName>
    <definedName name="solver_ver" localSheetId="6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7" l="1"/>
  <c r="E6" i="7"/>
  <c r="E5" i="7"/>
  <c r="E4" i="7"/>
  <c r="E3" i="7"/>
  <c r="E2" i="7"/>
  <c r="E7" i="7" l="1"/>
</calcChain>
</file>

<file path=xl/sharedStrings.xml><?xml version="1.0" encoding="utf-8"?>
<sst xmlns="http://schemas.openxmlformats.org/spreadsheetml/2006/main" count="99" uniqueCount="90">
  <si>
    <t>Emetteur</t>
  </si>
  <si>
    <t>Valorisation_FCFA</t>
  </si>
  <si>
    <t>Poids_actuel_pct</t>
  </si>
  <si>
    <t>Statut</t>
  </si>
  <si>
    <t>Reduction_requise_FCFA</t>
  </si>
  <si>
    <t>Limite_COSUMAF_pct</t>
  </si>
  <si>
    <t>Taux_facial_moy_pct</t>
  </si>
  <si>
    <t>DM_approx</t>
  </si>
  <si>
    <t>RÃ©publique Centrafricaine</t>
  </si>
  <si>
    <t>ðŸ”´ ALERTE (&gt; 35%)</t>
  </si>
  <si>
    <t>TCHAD</t>
  </si>
  <si>
    <t>ðŸŸ¢ Conforme</t>
  </si>
  <si>
    <t>CONGO</t>
  </si>
  <si>
    <t>GABON</t>
  </si>
  <si>
    <t>CAMEROUN</t>
  </si>
  <si>
    <t>Semaine</t>
  </si>
  <si>
    <t>Flux_P50</t>
  </si>
  <si>
    <t>Flux_LO_95</t>
  </si>
  <si>
    <t>Flux_HI_95</t>
  </si>
  <si>
    <t>En_FCFA_P50</t>
  </si>
  <si>
    <t>S+1</t>
  </si>
  <si>
    <t>S+2</t>
  </si>
  <si>
    <t>S+3</t>
  </si>
  <si>
    <t>S+4</t>
  </si>
  <si>
    <t>Scenario</t>
  </si>
  <si>
    <t>Choc_actif_bps</t>
  </si>
  <si>
    <t>Choc_passif_pct</t>
  </si>
  <si>
    <t>Perte_actif_FCFA</t>
  </si>
  <si>
    <t>Remboursement_FCFA</t>
  </si>
  <si>
    <t>VL_avant</t>
  </si>
  <si>
    <t>VL_apres</t>
  </si>
  <si>
    <t>Variation_VL_pct</t>
  </si>
  <si>
    <t>Solde_treso_FCFA</t>
  </si>
  <si>
    <t>Double_Choc_150bps_20pct</t>
  </si>
  <si>
    <t>Parametre</t>
  </si>
  <si>
    <t>Cameroun_BTA_26s</t>
  </si>
  <si>
    <t>Cameroun_BTA_52s</t>
  </si>
  <si>
    <t>Cameroun_OTA_2a</t>
  </si>
  <si>
    <t>Cameroun_OTA_3a</t>
  </si>
  <si>
    <t>Cameroun_OTA_5a</t>
  </si>
  <si>
    <t>Cameroun_OTA_10a</t>
  </si>
  <si>
    <t>Congo_BTA_13s</t>
  </si>
  <si>
    <t>Congo_BTA_26s</t>
  </si>
  <si>
    <t>Congo_OTA_2a</t>
  </si>
  <si>
    <t>Congo_OTA_3a</t>
  </si>
  <si>
    <t>Congo_OTA_5a</t>
  </si>
  <si>
    <t>Gabon_BTA_13s</t>
  </si>
  <si>
    <t>Gabon_BTA_26s</t>
  </si>
  <si>
    <t>Gabon_BTA_52s</t>
  </si>
  <si>
    <t>Gabon_OTA_2a</t>
  </si>
  <si>
    <t>Gabon_OTA_3a</t>
  </si>
  <si>
    <t>Gabon_OTA_4a</t>
  </si>
  <si>
    <t>Gabon_OTA_5a</t>
  </si>
  <si>
    <t>Gabon_OTA_7a</t>
  </si>
  <si>
    <t>omega</t>
  </si>
  <si>
    <t>alpha1</t>
  </si>
  <si>
    <t>beta1</t>
  </si>
  <si>
    <t>persistance</t>
  </si>
  <si>
    <t>demi_vie_periodes</t>
  </si>
  <si>
    <t>AIC</t>
  </si>
  <si>
    <t>BIC</t>
  </si>
  <si>
    <t>Indicateur</t>
  </si>
  <si>
    <t>Valeur</t>
  </si>
  <si>
    <t>LaR_parts_P99</t>
  </si>
  <si>
    <t>LaR_montant_FCFA</t>
  </si>
  <si>
    <t>VL_par_part_FCFA</t>
  </si>
  <si>
    <t>Parts_actuelles</t>
  </si>
  <si>
    <t>Coupon_hebdo_total_FCFA</t>
  </si>
  <si>
    <t>Coupon_annuel_total_FCFA</t>
  </si>
  <si>
    <t>Taux_composite_portefeuille_pct</t>
  </si>
  <si>
    <t>Duration_Modifiee_composite_ans</t>
  </si>
  <si>
    <t>VaR_Marche_FCFA</t>
  </si>
  <si>
    <t>VaR_Marche_pct_actif</t>
  </si>
  <si>
    <t>Émetteur</t>
  </si>
  <si>
    <t>Poids Initial (%)</t>
  </si>
  <si>
    <t>Nouveau Poids (%) - Variable</t>
  </si>
  <si>
    <t>Taux Facial Moyen (%)</t>
  </si>
  <si>
    <t>Rendement Pondéré</t>
  </si>
  <si>
    <t>TOTAL PORTEFEUILLE</t>
  </si>
  <si>
    <t>TABLEAU DE BORD OPÉRATIONNEL ALM — FONDS BEAC</t>
  </si>
  <si>
    <t>INDICATEURS STRATÉGIQUES (SITUATION ACTUELLE)</t>
  </si>
  <si>
    <t>Valeur Liquidative (VL) par Part :</t>
  </si>
  <si>
    <t>Duration Modifiée Composite :</t>
  </si>
  <si>
    <t>Value-at-Risk (VaR Marché P95) :</t>
  </si>
  <si>
    <t>RÉSULTATS DE LA SIMULATION DE CRISE (STRESS TESTING)</t>
  </si>
  <si>
    <t>Scénario testé :</t>
  </si>
  <si>
    <t>Impact / Perte en capital à l'Actif :</t>
  </si>
  <si>
    <t>Dégradation estimée de la VL (%) :</t>
  </si>
  <si>
    <t>Trésorerie Finale Post-Crise :</t>
  </si>
  <si>
    <t>CRITIQUE : Alerte matérialisation risque de taux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</si>
</sst>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\F\C\F\A"/>
    <numFmt numFmtId="165" formatCode="0.00\ &quot;ans&quot;"/>
    <numFmt numFmtId="166" formatCode="#,##0\ \F\C\F\A"/>
    <numFmt numFmtId="167" formatCode="\-#,##0\ \F\C\F\A"/>
  </numFmts>
  <fonts count="7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b/>
      <sz val="14"/>
      <color rgb="FFFFFFFF"/>
      <name val="Calibri"/>
      <family val="2"/>
      <scheme val="minor"/>
    </font>
    <font>
      <b/>
      <sz val="11"/>
      <color rgb="FFFFFFFF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FFC7C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0" fontId="0" fillId="0" borderId="0" xfId="0" applyNumberFormat="1"/>
    <xf numFmtId="0" fontId="3" fillId="0" borderId="0" xfId="0" applyFont="1"/>
    <xf numFmtId="164" fontId="0" fillId="0" borderId="0" xfId="0" applyNumberFormat="1"/>
    <xf numFmtId="10" fontId="3" fillId="0" borderId="0" xfId="0" applyNumberFormat="1" applyFont="1"/>
    <xf numFmtId="165" fontId="0" fillId="0" borderId="0" xfId="0" applyNumberFormat="1"/>
    <xf numFmtId="166" fontId="0" fillId="0" borderId="0" xfId="0" applyNumberFormat="1"/>
    <xf numFmtId="167" fontId="2" fillId="0" borderId="0" xfId="0" applyNumberFormat="1" applyFont="1"/>
    <xf numFmtId="10" fontId="0" fillId="3" borderId="0" xfId="0" applyNumberFormat="1" applyFill="1"/>
    <xf numFmtId="0" fontId="1" fillId="0" borderId="0" xfId="0" applyFont="1"/>
    <xf numFmtId="0" fontId="6" fillId="2" borderId="0" xfId="0" applyFont="1" applyFill="1" applyAlignment="1">
      <alignment horizontal="center" vertical="center"/>
    </xf>
    <xf numFmtId="0" fontId="4" fillId="0" borderId="0" xfId="0" applyFont="1" applyAlignment="1">
      <alignment vertical="center"/>
    </xf>
    <xf numFmtId="0" fontId="5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2451100</xdr:colOff>
      <xdr:row>15</xdr:row>
      <xdr:rowOff>76200</xdr:rowOff>
    </xdr:from>
    <xdr:to>
      <xdr:col>2</xdr:col>
      <xdr:colOff>1181100</xdr:colOff>
      <xdr:row>19</xdr:row>
      <xdr:rowOff>76200</xdr:rowOff>
    </xdr:to>
    <xdr:sp macro="[0]!Executer_Reporting_ALM_Globa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E381965-E476-960D-D907-3EB53D189DD6}"/>
            </a:ext>
          </a:extLst>
        </xdr:cNvPr>
        <xdr:cNvSpPr/>
      </xdr:nvSpPr>
      <xdr:spPr>
        <a:xfrm>
          <a:off x="2451100" y="2889250"/>
          <a:ext cx="3924300" cy="73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/>
            <a:t>🔄 METTRE À JOUR LE REPORTING ALM &amp; SOLVEUR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6683E-24D1-46EC-846A-134CE3C9F508}">
  <sheetPr codeName="Feuil1"/>
  <dimension ref="A1:E13"/>
  <sheetViews>
    <sheetView tabSelected="1" workbookViewId="0">
      <selection activeCell="C16" sqref="C16"/>
    </sheetView>
  </sheetViews>
  <sheetFormatPr baseColWidth="10" defaultRowHeight="14.5" x14ac:dyDescent="0.35"/>
  <cols>
    <col min="1" max="1" width="49.7265625" bestFit="1" customWidth="1"/>
    <col min="2" max="2" width="24.6328125" bestFit="1" customWidth="1"/>
    <col min="3" max="3" width="40.81640625" bestFit="1" customWidth="1"/>
  </cols>
  <sheetData>
    <row r="1" spans="1:5" ht="18.5" x14ac:dyDescent="0.45">
      <c r="A1" s="12" t="s">
        <v>79</v>
      </c>
      <c r="B1" s="12"/>
      <c r="C1" s="12"/>
      <c r="D1" s="12"/>
      <c r="E1" s="12"/>
    </row>
    <row r="2" spans="1:5" x14ac:dyDescent="0.35">
      <c r="C2">
        <v>0</v>
      </c>
    </row>
    <row r="3" spans="1:5" x14ac:dyDescent="0.35">
      <c r="A3" s="2" t="s">
        <v>80</v>
      </c>
      <c r="C3">
        <v>0</v>
      </c>
    </row>
    <row r="4" spans="1:5" x14ac:dyDescent="0.35">
      <c r="A4" t="s">
        <v>81</v>
      </c>
      <c r="B4" s="3">
        <v>67759.77</v>
      </c>
      <c r="C4">
        <v>0</v>
      </c>
    </row>
    <row r="5" spans="1:5" x14ac:dyDescent="0.35">
      <c r="A5" t="s">
        <v>82</v>
      </c>
      <c r="B5" s="5">
        <v>3.0354000000000001</v>
      </c>
      <c r="C5">
        <v>0</v>
      </c>
    </row>
    <row r="6" spans="1:5" x14ac:dyDescent="0.35">
      <c r="A6" t="s">
        <v>83</v>
      </c>
      <c r="B6" s="6">
        <v>1646838</v>
      </c>
      <c r="C6">
        <v>0</v>
      </c>
    </row>
    <row r="7" spans="1:5" x14ac:dyDescent="0.35">
      <c r="C7">
        <v>0</v>
      </c>
      <c r="E7">
        <v>0</v>
      </c>
    </row>
    <row r="9" spans="1:5" x14ac:dyDescent="0.35">
      <c r="A9" s="2" t="s">
        <v>84</v>
      </c>
    </row>
    <row r="10" spans="1:5" x14ac:dyDescent="0.35">
      <c r="A10" t="s">
        <v>85</v>
      </c>
      <c r="B10" t="s">
        <v>33</v>
      </c>
    </row>
    <row r="11" spans="1:5" x14ac:dyDescent="0.35">
      <c r="A11" t="s">
        <v>86</v>
      </c>
      <c r="B11" s="7">
        <v>-6684121</v>
      </c>
    </row>
    <row r="12" spans="1:5" x14ac:dyDescent="0.35">
      <c r="A12" t="s">
        <v>87</v>
      </c>
      <c r="B12" s="8">
        <v>-8.091000000000001E-3</v>
      </c>
      <c r="C12" s="9" t="s">
        <v>89</v>
      </c>
    </row>
    <row r="13" spans="1:5" x14ac:dyDescent="0.35">
      <c r="A13" t="s">
        <v>88</v>
      </c>
      <c r="B13" s="6">
        <v>652020266</v>
      </c>
    </row>
  </sheetData>
  <mergeCells count="1">
    <mergeCell ref="A1:E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D5C4B-215F-42B7-B8C4-B2777CDE746C}">
  <sheetPr codeName="Feuil2"/>
  <dimension ref="A1:H6"/>
  <sheetViews>
    <sheetView workbookViewId="0"/>
  </sheetViews>
  <sheetFormatPr baseColWidth="10" defaultRowHeight="14.5" x14ac:dyDescent="0.35"/>
  <cols>
    <col min="1" max="1" width="23.36328125" bestFit="1" customWidth="1"/>
    <col min="2" max="2" width="17.81640625" bestFit="1" customWidth="1"/>
    <col min="3" max="3" width="16.7265625" bestFit="1" customWidth="1"/>
    <col min="4" max="4" width="17.1796875" bestFit="1" customWidth="1"/>
    <col min="5" max="5" width="23.90625" bestFit="1" customWidth="1"/>
    <col min="6" max="6" width="21.36328125" bestFit="1" customWidth="1"/>
    <col min="7" max="7" width="20.26953125" bestFit="1" customWidth="1"/>
    <col min="8" max="8" width="11.90625" bestFit="1" customWidth="1"/>
  </cols>
  <sheetData>
    <row r="1" spans="1:8" ht="25" customHeight="1" x14ac:dyDescent="0.35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</row>
    <row r="2" spans="1:8" ht="16" x14ac:dyDescent="0.35">
      <c r="A2" s="11" t="s">
        <v>8</v>
      </c>
      <c r="B2" s="11">
        <v>94854363.013698697</v>
      </c>
      <c r="C2" s="11">
        <v>56.674490650451197</v>
      </c>
      <c r="D2" s="11" t="s">
        <v>9</v>
      </c>
      <c r="E2" s="11">
        <v>36275932.6232877</v>
      </c>
      <c r="F2" s="11">
        <v>35</v>
      </c>
      <c r="G2" s="11">
        <v>6.5770526221994103</v>
      </c>
      <c r="H2" s="11">
        <v>3.5</v>
      </c>
    </row>
    <row r="3" spans="1:8" ht="16" x14ac:dyDescent="0.35">
      <c r="A3" s="11" t="s">
        <v>10</v>
      </c>
      <c r="B3" s="11">
        <v>30228291.095890399</v>
      </c>
      <c r="C3" s="11">
        <v>18.061088037096901</v>
      </c>
      <c r="D3" s="11" t="s">
        <v>11</v>
      </c>
      <c r="E3" s="11">
        <v>0</v>
      </c>
      <c r="F3" s="11">
        <v>35</v>
      </c>
      <c r="G3" s="11">
        <v>6.3044038623438698</v>
      </c>
      <c r="H3" s="11">
        <v>2.5</v>
      </c>
    </row>
    <row r="4" spans="1:8" ht="16" x14ac:dyDescent="0.35">
      <c r="A4" s="11" t="s">
        <v>12</v>
      </c>
      <c r="B4" s="11">
        <v>29960341.917808201</v>
      </c>
      <c r="C4" s="11">
        <v>17.9009912033242</v>
      </c>
      <c r="D4" s="11" t="s">
        <v>11</v>
      </c>
      <c r="E4" s="11">
        <v>0</v>
      </c>
      <c r="F4" s="11">
        <v>35</v>
      </c>
      <c r="G4" s="11">
        <v>5.9161524209610903</v>
      </c>
      <c r="H4" s="11">
        <v>1.8</v>
      </c>
    </row>
    <row r="5" spans="1:8" ht="16" x14ac:dyDescent="0.35">
      <c r="A5" s="11" t="s">
        <v>13</v>
      </c>
      <c r="B5" s="11">
        <v>8496983.5616438407</v>
      </c>
      <c r="C5" s="11">
        <v>5.0768588826206704</v>
      </c>
      <c r="D5" s="11" t="s">
        <v>11</v>
      </c>
      <c r="E5" s="11">
        <v>0</v>
      </c>
      <c r="F5" s="11">
        <v>35</v>
      </c>
      <c r="G5" s="11">
        <v>6.6265503084253297</v>
      </c>
      <c r="H5" s="11">
        <v>3</v>
      </c>
    </row>
    <row r="6" spans="1:8" ht="16" x14ac:dyDescent="0.35">
      <c r="A6" s="11" t="s">
        <v>14</v>
      </c>
      <c r="B6" s="11">
        <v>3826964.38356164</v>
      </c>
      <c r="C6" s="11">
        <v>2.2865712265070099</v>
      </c>
      <c r="D6" s="11" t="s">
        <v>11</v>
      </c>
      <c r="E6" s="11">
        <v>0</v>
      </c>
      <c r="F6" s="11">
        <v>35</v>
      </c>
      <c r="G6" s="11">
        <v>7</v>
      </c>
      <c r="H6" s="11">
        <v>5.5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2FF68-E834-4019-9748-7BFABAFDF93C}">
  <sheetPr codeName="Feuil3"/>
  <dimension ref="A1:E5"/>
  <sheetViews>
    <sheetView workbookViewId="0"/>
  </sheetViews>
  <sheetFormatPr baseColWidth="10" defaultRowHeight="14.5" x14ac:dyDescent="0.35"/>
  <cols>
    <col min="1" max="1" width="8.90625" bestFit="1" customWidth="1"/>
    <col min="2" max="2" width="9.26953125" bestFit="1" customWidth="1"/>
    <col min="3" max="3" width="11.36328125" bestFit="1" customWidth="1"/>
    <col min="4" max="4" width="11" bestFit="1" customWidth="1"/>
    <col min="5" max="5" width="13.1796875" bestFit="1" customWidth="1"/>
  </cols>
  <sheetData>
    <row r="1" spans="1:5" ht="25" customHeight="1" x14ac:dyDescent="0.35">
      <c r="A1" s="10" t="s">
        <v>15</v>
      </c>
      <c r="B1" s="10" t="s">
        <v>16</v>
      </c>
      <c r="C1" s="10" t="s">
        <v>17</v>
      </c>
      <c r="D1" s="10" t="s">
        <v>18</v>
      </c>
      <c r="E1" s="10" t="s">
        <v>19</v>
      </c>
    </row>
    <row r="2" spans="1:5" ht="16" x14ac:dyDescent="0.35">
      <c r="A2" s="11" t="s">
        <v>20</v>
      </c>
      <c r="B2" s="11">
        <v>555.04999999999995</v>
      </c>
      <c r="C2" s="11">
        <v>-1112.3800000000001</v>
      </c>
      <c r="D2" s="11">
        <v>2222.48</v>
      </c>
      <c r="E2" s="11">
        <v>37610100</v>
      </c>
    </row>
    <row r="3" spans="1:5" ht="16" x14ac:dyDescent="0.35">
      <c r="A3" s="11" t="s">
        <v>21</v>
      </c>
      <c r="B3" s="11">
        <v>555.04999999999995</v>
      </c>
      <c r="C3" s="11">
        <v>-1112.3800000000001</v>
      </c>
      <c r="D3" s="11">
        <v>2222.48</v>
      </c>
      <c r="E3" s="11">
        <v>37610100</v>
      </c>
    </row>
    <row r="4" spans="1:5" ht="16" x14ac:dyDescent="0.35">
      <c r="A4" s="11" t="s">
        <v>22</v>
      </c>
      <c r="B4" s="11">
        <v>555.04999999999995</v>
      </c>
      <c r="C4" s="11">
        <v>-1112.3800000000001</v>
      </c>
      <c r="D4" s="11">
        <v>2222.48</v>
      </c>
      <c r="E4" s="11">
        <v>37610100</v>
      </c>
    </row>
    <row r="5" spans="1:5" ht="16" x14ac:dyDescent="0.35">
      <c r="A5" s="11" t="s">
        <v>23</v>
      </c>
      <c r="B5" s="11">
        <v>555.04999999999995</v>
      </c>
      <c r="C5" s="11">
        <v>-1112.3800000000001</v>
      </c>
      <c r="D5" s="11">
        <v>2222.48</v>
      </c>
      <c r="E5" s="11">
        <v>37610100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9FCFD-39AA-46D7-A348-E2ECB6E06943}">
  <sheetPr codeName="Feuil4"/>
  <dimension ref="A1:I2"/>
  <sheetViews>
    <sheetView workbookViewId="0">
      <selection activeCell="B8" sqref="B8"/>
    </sheetView>
  </sheetViews>
  <sheetFormatPr baseColWidth="10" defaultRowHeight="14.5" x14ac:dyDescent="0.35"/>
  <cols>
    <col min="1" max="1" width="23.453125" bestFit="1" customWidth="1"/>
    <col min="2" max="2" width="14.90625" bestFit="1" customWidth="1"/>
    <col min="3" max="3" width="15.81640625" bestFit="1" customWidth="1"/>
    <col min="4" max="4" width="16.6328125" bestFit="1" customWidth="1"/>
    <col min="5" max="5" width="22.1796875" bestFit="1" customWidth="1"/>
    <col min="6" max="6" width="9.453125" bestFit="1" customWidth="1"/>
    <col min="7" max="7" width="9.36328125" bestFit="1" customWidth="1"/>
    <col min="8" max="8" width="16.81640625" bestFit="1" customWidth="1"/>
    <col min="9" max="9" width="17.36328125" bestFit="1" customWidth="1"/>
  </cols>
  <sheetData>
    <row r="1" spans="1:9" ht="25" customHeight="1" x14ac:dyDescent="0.35">
      <c r="A1" s="10" t="s">
        <v>24</v>
      </c>
      <c r="B1" s="10" t="s">
        <v>25</v>
      </c>
      <c r="C1" s="10" t="s">
        <v>26</v>
      </c>
      <c r="D1" s="10" t="s">
        <v>27</v>
      </c>
      <c r="E1" s="10" t="s">
        <v>28</v>
      </c>
      <c r="F1" s="10" t="s">
        <v>29</v>
      </c>
      <c r="G1" s="10" t="s">
        <v>30</v>
      </c>
      <c r="H1" s="10" t="s">
        <v>31</v>
      </c>
      <c r="I1" s="10" t="s">
        <v>32</v>
      </c>
    </row>
    <row r="2" spans="1:9" ht="16" x14ac:dyDescent="0.35">
      <c r="A2" s="11" t="s">
        <v>33</v>
      </c>
      <c r="B2" s="11">
        <v>150</v>
      </c>
      <c r="C2" s="11">
        <v>20</v>
      </c>
      <c r="D2" s="11">
        <v>-6684121</v>
      </c>
      <c r="E2" s="11">
        <v>206517833</v>
      </c>
      <c r="F2" s="11">
        <v>67759.77</v>
      </c>
      <c r="G2" s="11">
        <v>67211.5</v>
      </c>
      <c r="H2" s="11">
        <v>-0.80910000000000004</v>
      </c>
      <c r="I2" s="11">
        <v>652020266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4B71F-0392-40B5-AC42-E988E37FDB32}">
  <sheetPr codeName="Feuil5"/>
  <dimension ref="A1:T8"/>
  <sheetViews>
    <sheetView topLeftCell="G1" workbookViewId="0"/>
  </sheetViews>
  <sheetFormatPr baseColWidth="10" defaultRowHeight="14.5" x14ac:dyDescent="0.35"/>
  <cols>
    <col min="1" max="1" width="15.453125" bestFit="1" customWidth="1"/>
    <col min="2" max="3" width="19.453125" bestFit="1" customWidth="1"/>
    <col min="4" max="6" width="18.7265625" bestFit="1" customWidth="1"/>
    <col min="7" max="7" width="19.90625" bestFit="1" customWidth="1"/>
    <col min="8" max="9" width="15.81640625" bestFit="1" customWidth="1"/>
    <col min="10" max="12" width="15.08984375" bestFit="1" customWidth="1"/>
    <col min="13" max="15" width="15.90625" bestFit="1" customWidth="1"/>
    <col min="16" max="20" width="15.1796875" bestFit="1" customWidth="1"/>
  </cols>
  <sheetData>
    <row r="1" spans="1:20" ht="25" customHeight="1" x14ac:dyDescent="0.35">
      <c r="A1" s="10" t="s">
        <v>34</v>
      </c>
      <c r="B1" s="10" t="s">
        <v>35</v>
      </c>
      <c r="C1" s="10" t="s">
        <v>36</v>
      </c>
      <c r="D1" s="10" t="s">
        <v>37</v>
      </c>
      <c r="E1" s="10" t="s">
        <v>38</v>
      </c>
      <c r="F1" s="10" t="s">
        <v>39</v>
      </c>
      <c r="G1" s="10" t="s">
        <v>40</v>
      </c>
      <c r="H1" s="10" t="s">
        <v>41</v>
      </c>
      <c r="I1" s="10" t="s">
        <v>42</v>
      </c>
      <c r="J1" s="10" t="s">
        <v>43</v>
      </c>
      <c r="K1" s="10" t="s">
        <v>44</v>
      </c>
      <c r="L1" s="10" t="s">
        <v>45</v>
      </c>
      <c r="M1" s="10" t="s">
        <v>46</v>
      </c>
      <c r="N1" s="10" t="s">
        <v>47</v>
      </c>
      <c r="O1" s="10" t="s">
        <v>48</v>
      </c>
      <c r="P1" s="10" t="s">
        <v>49</v>
      </c>
      <c r="Q1" s="10" t="s">
        <v>50</v>
      </c>
      <c r="R1" s="10" t="s">
        <v>51</v>
      </c>
      <c r="S1" s="10" t="s">
        <v>52</v>
      </c>
      <c r="T1" s="10" t="s">
        <v>53</v>
      </c>
    </row>
    <row r="2" spans="1:20" ht="16" x14ac:dyDescent="0.35">
      <c r="A2" s="11" t="s">
        <v>54</v>
      </c>
      <c r="B2" s="11">
        <v>3.1146014093940502E-5</v>
      </c>
      <c r="C2" s="11">
        <v>5.2830018386655696E-4</v>
      </c>
      <c r="D2" s="11">
        <v>5.0150852869846295E-4</v>
      </c>
      <c r="E2" s="11">
        <v>6.7800410913135303E-16</v>
      </c>
      <c r="F2" s="11">
        <v>6.1511466033337295E-8</v>
      </c>
      <c r="G2" s="11">
        <v>1.3199907547436799E-7</v>
      </c>
      <c r="H2" s="11">
        <v>3.2140508992799499E-12</v>
      </c>
      <c r="I2" s="11">
        <v>1.34841850554066E-11</v>
      </c>
      <c r="J2" s="11">
        <v>2.58829392169492E-9</v>
      </c>
      <c r="K2" s="11">
        <v>2.32003210105765E-4</v>
      </c>
      <c r="L2" s="11">
        <v>1.6071535989884E-12</v>
      </c>
      <c r="M2" s="11">
        <v>3.63999957555364E-3</v>
      </c>
      <c r="N2" s="11">
        <v>0.41309247678297301</v>
      </c>
      <c r="O2" s="11">
        <v>9.0425861096102603E-10</v>
      </c>
      <c r="P2" s="11">
        <v>2.2335501277755E-2</v>
      </c>
      <c r="Q2" s="11">
        <v>9.9626012137474604E-9</v>
      </c>
      <c r="R2" s="11">
        <v>7.02504234964579E-9</v>
      </c>
      <c r="S2" s="11">
        <v>4.3576265628223599E-8</v>
      </c>
      <c r="T2" s="11">
        <v>0.75719271736466798</v>
      </c>
    </row>
    <row r="3" spans="1:20" ht="16" x14ac:dyDescent="0.35">
      <c r="A3" s="11" t="s">
        <v>55</v>
      </c>
      <c r="B3" s="11">
        <v>0.34074462389570398</v>
      </c>
      <c r="C3" s="11">
        <v>2.2840015574052499E-11</v>
      </c>
      <c r="D3" s="11">
        <v>1.42774746269118E-11</v>
      </c>
      <c r="E3" s="11">
        <v>0.19236858589373401</v>
      </c>
      <c r="F3" s="11">
        <v>4.6037101317436799E-10</v>
      </c>
      <c r="G3" s="11">
        <v>2.36642946601249E-10</v>
      </c>
      <c r="H3" s="11">
        <v>0.57201554581929304</v>
      </c>
      <c r="I3" s="11">
        <v>2.2822770599697301E-7</v>
      </c>
      <c r="J3" s="11">
        <v>8.6934745225653394E-11</v>
      </c>
      <c r="K3" s="11">
        <v>0.87154834156358796</v>
      </c>
      <c r="L3" s="11">
        <v>1.57824814185296E-8</v>
      </c>
      <c r="M3" s="11">
        <v>0.78930253380645998</v>
      </c>
      <c r="N3" s="11">
        <v>0.99899984798816699</v>
      </c>
      <c r="O3" s="11">
        <v>0.43356908511967901</v>
      </c>
      <c r="P3" s="11">
        <v>0.68398796835329201</v>
      </c>
      <c r="Q3" s="11">
        <v>0.106347456053006</v>
      </c>
      <c r="R3" s="11">
        <v>2.3273827220637201E-9</v>
      </c>
      <c r="S3" s="11">
        <v>2.0391590450102601E-8</v>
      </c>
      <c r="T3" s="11">
        <v>1.5804759575352001E-8</v>
      </c>
    </row>
    <row r="4" spans="1:20" ht="16" x14ac:dyDescent="0.35">
      <c r="A4" s="11" t="s">
        <v>56</v>
      </c>
      <c r="B4" s="11">
        <v>0.65825537882446705</v>
      </c>
      <c r="C4" s="11">
        <v>0.80041637419173906</v>
      </c>
      <c r="D4" s="11">
        <v>0.75179643112961203</v>
      </c>
      <c r="E4" s="11">
        <v>0.38475535217246598</v>
      </c>
      <c r="F4" s="11">
        <v>0.988777952450826</v>
      </c>
      <c r="G4" s="11">
        <v>0.95077683668816904</v>
      </c>
      <c r="H4" s="11">
        <v>0.42696546995186702</v>
      </c>
      <c r="I4" s="11">
        <v>0.96131614536239496</v>
      </c>
      <c r="J4" s="11">
        <v>0.98228908591018405</v>
      </c>
      <c r="K4" s="11">
        <v>0.12745166547195599</v>
      </c>
      <c r="L4" s="11">
        <v>0.52939929220692195</v>
      </c>
      <c r="M4" s="11">
        <v>0.20969747292185301</v>
      </c>
      <c r="N4" s="11">
        <v>2.3230444012386E-8</v>
      </c>
      <c r="O4" s="11">
        <v>0.56542755186262095</v>
      </c>
      <c r="P4" s="11">
        <v>0.315012021509256</v>
      </c>
      <c r="Q4" s="11">
        <v>0.84226941878429995</v>
      </c>
      <c r="R4" s="11">
        <v>0.98554931543998303</v>
      </c>
      <c r="S4" s="11">
        <v>0.984600647752367</v>
      </c>
      <c r="T4" s="11">
        <v>3.1444482535169902E-7</v>
      </c>
    </row>
    <row r="5" spans="1:20" ht="16" x14ac:dyDescent="0.35">
      <c r="A5" s="11" t="s">
        <v>57</v>
      </c>
      <c r="B5" s="11">
        <v>0.99900000272017098</v>
      </c>
      <c r="C5" s="11">
        <v>0.80041637421457901</v>
      </c>
      <c r="D5" s="11">
        <v>0.75179643114389005</v>
      </c>
      <c r="E5" s="11">
        <v>0.57712393806619999</v>
      </c>
      <c r="F5" s="11">
        <v>0.98877795291119697</v>
      </c>
      <c r="G5" s="11">
        <v>0.95077683692481196</v>
      </c>
      <c r="H5" s="11">
        <v>0.99898101577116005</v>
      </c>
      <c r="I5" s="11">
        <v>0.96131637359010103</v>
      </c>
      <c r="J5" s="11">
        <v>0.98228908599711895</v>
      </c>
      <c r="K5" s="11">
        <v>0.99900000703554404</v>
      </c>
      <c r="L5" s="11">
        <v>0.52939930798940305</v>
      </c>
      <c r="M5" s="11">
        <v>0.99900000672831202</v>
      </c>
      <c r="N5" s="11">
        <v>0.998999871218611</v>
      </c>
      <c r="O5" s="11">
        <v>0.99899663698230001</v>
      </c>
      <c r="P5" s="11">
        <v>0.99899998986254801</v>
      </c>
      <c r="Q5" s="11">
        <v>0.94861687483730595</v>
      </c>
      <c r="R5" s="11">
        <v>0.98554931776736499</v>
      </c>
      <c r="S5" s="11">
        <v>0.98460066814395797</v>
      </c>
      <c r="T5" s="11">
        <v>3.3024958492705099E-7</v>
      </c>
    </row>
    <row r="6" spans="1:20" ht="16" x14ac:dyDescent="0.35">
      <c r="A6" s="11" t="s">
        <v>58</v>
      </c>
      <c r="B6" s="11">
        <v>1.7</v>
      </c>
      <c r="C6" s="11">
        <v>3.1</v>
      </c>
      <c r="D6" s="11">
        <v>2.4</v>
      </c>
      <c r="E6" s="11">
        <v>0.7</v>
      </c>
      <c r="F6" s="11">
        <v>61.4</v>
      </c>
      <c r="G6" s="11">
        <v>13.7</v>
      </c>
      <c r="H6" s="11">
        <v>0.8</v>
      </c>
      <c r="I6" s="11">
        <v>17.600000000000001</v>
      </c>
      <c r="J6" s="11">
        <v>38.799999999999997</v>
      </c>
      <c r="K6" s="11">
        <v>0.3</v>
      </c>
      <c r="L6" s="11">
        <v>1.1000000000000001</v>
      </c>
      <c r="M6" s="11">
        <v>0.4</v>
      </c>
      <c r="N6" s="11">
        <v>0</v>
      </c>
      <c r="O6" s="11">
        <v>1.2</v>
      </c>
      <c r="P6" s="11">
        <v>0.6</v>
      </c>
      <c r="Q6" s="11">
        <v>4</v>
      </c>
      <c r="R6" s="11">
        <v>47.6</v>
      </c>
      <c r="S6" s="11">
        <v>44.7</v>
      </c>
      <c r="T6" s="11">
        <v>0</v>
      </c>
    </row>
    <row r="7" spans="1:20" ht="16" x14ac:dyDescent="0.35">
      <c r="A7" s="11" t="s">
        <v>59</v>
      </c>
      <c r="B7" s="11">
        <v>-1.2120197667227</v>
      </c>
      <c r="C7" s="11">
        <v>0.76897999602670997</v>
      </c>
      <c r="D7" s="11">
        <v>-0.29327483730224801</v>
      </c>
      <c r="E7" s="11">
        <v>0.33912943690907998</v>
      </c>
      <c r="F7" s="11">
        <v>1.2184628922997101</v>
      </c>
      <c r="G7" s="11">
        <v>4.4012056006690399</v>
      </c>
      <c r="H7" s="11">
        <v>-1.1823903101528901</v>
      </c>
      <c r="I7" s="11">
        <v>0.51962080984932502</v>
      </c>
      <c r="J7" s="11">
        <v>3.5754331516414899</v>
      </c>
      <c r="K7" s="11">
        <v>1.16039508186748</v>
      </c>
      <c r="L7" s="11">
        <v>0.96178268972591496</v>
      </c>
      <c r="M7" s="11">
        <v>1.1150648132118399</v>
      </c>
      <c r="N7" s="11">
        <v>1.7498457339797699</v>
      </c>
      <c r="O7" s="11">
        <v>3.0025049902175498</v>
      </c>
      <c r="P7" s="11">
        <v>1.55987782703968</v>
      </c>
      <c r="Q7" s="11">
        <v>3.6843633864443701</v>
      </c>
      <c r="R7" s="11">
        <v>3.6021586924832598</v>
      </c>
      <c r="S7" s="11">
        <v>2.9407572283494199</v>
      </c>
      <c r="T7" s="11">
        <v>3.8416635412321298</v>
      </c>
    </row>
    <row r="8" spans="1:20" ht="16" x14ac:dyDescent="0.35">
      <c r="A8" s="11" t="s">
        <v>60</v>
      </c>
      <c r="B8" s="11">
        <v>-1.0680093220703599</v>
      </c>
      <c r="C8" s="11">
        <v>1.05445239106425</v>
      </c>
      <c r="D8" s="11">
        <v>3.5157486631400801E-3</v>
      </c>
      <c r="E8" s="11">
        <v>0.63737332506690403</v>
      </c>
      <c r="F8" s="11">
        <v>1.46530946097996</v>
      </c>
      <c r="G8" s="11">
        <v>4.3625699928513999</v>
      </c>
      <c r="H8" s="11">
        <v>-0.91029802624989198</v>
      </c>
      <c r="I8" s="11">
        <v>0.76339597482296595</v>
      </c>
      <c r="J8" s="11">
        <v>3.7998979346732802</v>
      </c>
      <c r="K8" s="11">
        <v>1.4432838742784699</v>
      </c>
      <c r="L8" s="11">
        <v>1.2450027701668001</v>
      </c>
      <c r="M8" s="11">
        <v>1.31412433521424</v>
      </c>
      <c r="N8" s="11">
        <v>1.88560479337028</v>
      </c>
      <c r="O8" s="11">
        <v>3.2514380586060398</v>
      </c>
      <c r="P8" s="11">
        <v>1.8478415750406401</v>
      </c>
      <c r="Q8" s="11">
        <v>3.9074153011861199</v>
      </c>
      <c r="R8" s="11">
        <v>3.8090241232312798</v>
      </c>
      <c r="S8" s="11">
        <v>3.1395225975330199</v>
      </c>
      <c r="T8" s="11">
        <v>3.9929560877291599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629A3-C90C-45E9-BE98-578998165E61}">
  <sheetPr codeName="Feuil6"/>
  <dimension ref="A1:B11"/>
  <sheetViews>
    <sheetView workbookViewId="0"/>
  </sheetViews>
  <sheetFormatPr baseColWidth="10" defaultRowHeight="14.5" x14ac:dyDescent="0.35"/>
  <cols>
    <col min="1" max="1" width="28.36328125" bestFit="1" customWidth="1"/>
    <col min="2" max="2" width="8.81640625" bestFit="1" customWidth="1"/>
  </cols>
  <sheetData>
    <row r="1" spans="1:2" ht="25" customHeight="1" x14ac:dyDescent="0.35">
      <c r="A1" s="10" t="s">
        <v>61</v>
      </c>
      <c r="B1" s="10" t="s">
        <v>62</v>
      </c>
    </row>
    <row r="2" spans="1:2" ht="16" x14ac:dyDescent="0.35">
      <c r="A2" s="11" t="s">
        <v>63</v>
      </c>
      <c r="B2" s="11">
        <v>415</v>
      </c>
    </row>
    <row r="3" spans="1:2" ht="16" x14ac:dyDescent="0.35">
      <c r="A3" s="11" t="s">
        <v>64</v>
      </c>
      <c r="B3" s="11">
        <v>0</v>
      </c>
    </row>
    <row r="4" spans="1:2" ht="16" x14ac:dyDescent="0.35">
      <c r="A4" s="11" t="s">
        <v>65</v>
      </c>
      <c r="B4" s="11">
        <v>67759.77</v>
      </c>
    </row>
    <row r="5" spans="1:2" ht="16" x14ac:dyDescent="0.35">
      <c r="A5" s="11" t="s">
        <v>66</v>
      </c>
      <c r="B5" s="11">
        <v>15239</v>
      </c>
    </row>
    <row r="6" spans="1:2" ht="16" x14ac:dyDescent="0.35">
      <c r="A6" s="11" t="s">
        <v>67</v>
      </c>
      <c r="B6" s="11">
        <v>201931</v>
      </c>
    </row>
    <row r="7" spans="1:2" ht="16" x14ac:dyDescent="0.35">
      <c r="A7" s="11" t="s">
        <v>68</v>
      </c>
      <c r="B7" s="11">
        <v>10500400</v>
      </c>
    </row>
    <row r="8" spans="1:2" ht="16" x14ac:dyDescent="0.35">
      <c r="A8" s="11" t="s">
        <v>69</v>
      </c>
      <c r="B8" s="11">
        <v>6.4217000000000004</v>
      </c>
    </row>
    <row r="9" spans="1:2" ht="16" x14ac:dyDescent="0.35">
      <c r="A9" s="11" t="s">
        <v>70</v>
      </c>
      <c r="B9" s="11">
        <v>3.0354000000000001</v>
      </c>
    </row>
    <row r="10" spans="1:2" ht="16" x14ac:dyDescent="0.35">
      <c r="A10" s="11" t="s">
        <v>71</v>
      </c>
      <c r="B10" s="11">
        <v>1646838</v>
      </c>
    </row>
    <row r="11" spans="1:2" ht="16" x14ac:dyDescent="0.35">
      <c r="A11" s="11" t="s">
        <v>72</v>
      </c>
      <c r="B11" s="11">
        <v>0.1595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5A1A1-BA4E-4459-B615-B2421C443856}">
  <sheetPr codeName="Feuil7"/>
  <dimension ref="A1:E7"/>
  <sheetViews>
    <sheetView workbookViewId="0">
      <selection activeCell="D15" sqref="D15"/>
    </sheetView>
  </sheetViews>
  <sheetFormatPr baseColWidth="10" defaultRowHeight="14.5" x14ac:dyDescent="0.35"/>
  <cols>
    <col min="1" max="1" width="24.453125" bestFit="1" customWidth="1"/>
    <col min="2" max="2" width="13.7265625" bestFit="1" customWidth="1"/>
    <col min="3" max="3" width="25.08984375" bestFit="1" customWidth="1"/>
    <col min="4" max="4" width="19.453125" bestFit="1" customWidth="1"/>
    <col min="5" max="5" width="18.1796875" bestFit="1" customWidth="1"/>
  </cols>
  <sheetData>
    <row r="1" spans="1:5" x14ac:dyDescent="0.35">
      <c r="A1" s="2" t="s">
        <v>73</v>
      </c>
      <c r="B1" s="2" t="s">
        <v>74</v>
      </c>
      <c r="C1" s="2" t="s">
        <v>75</v>
      </c>
      <c r="D1" s="2" t="s">
        <v>76</v>
      </c>
      <c r="E1" s="2" t="s">
        <v>77</v>
      </c>
    </row>
    <row r="2" spans="1:5" x14ac:dyDescent="0.35">
      <c r="A2" t="s">
        <v>8</v>
      </c>
      <c r="B2" s="1">
        <v>0.56674490650451192</v>
      </c>
      <c r="C2" s="1">
        <v>0.3</v>
      </c>
      <c r="D2" s="1">
        <v>6.5770526221994099E-2</v>
      </c>
      <c r="E2" s="1">
        <f>C2*D2</f>
        <v>1.973115786659823E-2</v>
      </c>
    </row>
    <row r="3" spans="1:5" x14ac:dyDescent="0.35">
      <c r="A3" t="s">
        <v>10</v>
      </c>
      <c r="B3" s="1">
        <v>0.18061088037096901</v>
      </c>
      <c r="C3" s="1">
        <v>0</v>
      </c>
      <c r="D3" s="1">
        <v>6.30440386234387E-2</v>
      </c>
      <c r="E3" s="1">
        <f>C3*D3</f>
        <v>0</v>
      </c>
    </row>
    <row r="4" spans="1:5" x14ac:dyDescent="0.35">
      <c r="A4" t="s">
        <v>12</v>
      </c>
      <c r="B4" s="1">
        <v>0.17900991203324199</v>
      </c>
      <c r="C4" s="1">
        <v>0</v>
      </c>
      <c r="D4" s="1">
        <v>5.9161524209610905E-2</v>
      </c>
      <c r="E4" s="1">
        <f>C4*D4</f>
        <v>0</v>
      </c>
    </row>
    <row r="5" spans="1:5" x14ac:dyDescent="0.35">
      <c r="A5" t="s">
        <v>13</v>
      </c>
      <c r="B5" s="1">
        <v>5.0768588826206704E-2</v>
      </c>
      <c r="C5" s="1">
        <v>0.35</v>
      </c>
      <c r="D5" s="1">
        <v>6.6265503084253302E-2</v>
      </c>
      <c r="E5" s="1">
        <f>C5*D5</f>
        <v>2.3192926079488654E-2</v>
      </c>
    </row>
    <row r="6" spans="1:5" x14ac:dyDescent="0.35">
      <c r="A6" t="s">
        <v>14</v>
      </c>
      <c r="B6" s="1">
        <v>2.2865712265070101E-2</v>
      </c>
      <c r="C6" s="1">
        <v>0.35</v>
      </c>
      <c r="D6" s="1">
        <v>7.0000000000000007E-2</v>
      </c>
      <c r="E6" s="1">
        <f>C6*D6</f>
        <v>2.4500000000000001E-2</v>
      </c>
    </row>
    <row r="7" spans="1:5" x14ac:dyDescent="0.35">
      <c r="A7" s="2" t="s">
        <v>78</v>
      </c>
      <c r="B7" s="4"/>
      <c r="C7" s="4">
        <f>SUM(C2:C6)</f>
        <v>0.99999999999999989</v>
      </c>
      <c r="D7" s="4"/>
      <c r="E7" s="4">
        <f>SUM(E2:E6)</f>
        <v>6.7424083946086885E-2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Dashboard</vt:lpstr>
      <vt:lpstr>Import_Poids</vt:lpstr>
      <vt:lpstr>Import_Flux</vt:lpstr>
      <vt:lpstr>Import_Stress</vt:lpstr>
      <vt:lpstr>Import_Garch</vt:lpstr>
      <vt:lpstr>Import_Var</vt:lpstr>
      <vt:lpstr>Optimisation_COSUMAF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 vofo</dc:creator>
  <cp:lastModifiedBy>ange vofo</cp:lastModifiedBy>
  <dcterms:created xsi:type="dcterms:W3CDTF">2026-05-25T21:03:54Z</dcterms:created>
  <dcterms:modified xsi:type="dcterms:W3CDTF">2026-10-24T18:20:37Z</dcterms:modified>
</cp:coreProperties>
</file>